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xr:revisionPtr revIDLastSave="0" documentId="8_{5B8FC403-50C9-B84F-89B1-00E6A494B2C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C7" i="2"/>
  <c r="I33" i="1"/>
  <c r="I22" i="1"/>
  <c r="I21" i="1"/>
  <c r="F19" i="1"/>
  <c r="I19" i="1"/>
  <c r="I20" i="1"/>
  <c r="I13" i="1"/>
  <c r="I12" i="1"/>
  <c r="I11" i="1"/>
  <c r="I10" i="1"/>
  <c r="I6" i="1"/>
  <c r="I5" i="1"/>
  <c r="F17" i="1"/>
  <c r="F8" i="1"/>
  <c r="F3" i="1"/>
  <c r="N3" i="1"/>
  <c r="P3" i="1"/>
  <c r="F10" i="1"/>
  <c r="F11" i="1"/>
  <c r="F25" i="1"/>
  <c r="F24" i="1"/>
  <c r="F23" i="1"/>
  <c r="F22" i="1"/>
  <c r="F21" i="1"/>
  <c r="F20" i="1"/>
  <c r="F15" i="1"/>
  <c r="F14" i="1"/>
  <c r="F13" i="1"/>
  <c r="F12" i="1"/>
  <c r="F6" i="1"/>
  <c r="F5" i="1"/>
</calcChain>
</file>

<file path=xl/sharedStrings.xml><?xml version="1.0" encoding="utf-8"?>
<sst xmlns="http://schemas.openxmlformats.org/spreadsheetml/2006/main" count="65" uniqueCount="42">
  <si>
    <t>MR. PANKAJ SIR HOME (RAJIV NAGAR)</t>
  </si>
  <si>
    <t>SI.NO.</t>
  </si>
  <si>
    <t>WORK DESCRIPTION</t>
  </si>
  <si>
    <t>UNIT</t>
  </si>
  <si>
    <t>AREA/NOS</t>
  </si>
  <si>
    <t>RATE</t>
  </si>
  <si>
    <t>AMOUNT</t>
  </si>
  <si>
    <t>WORK STATUS</t>
  </si>
  <si>
    <t>UPTO TIE BEAM</t>
  </si>
  <si>
    <t>SQ.FT.</t>
  </si>
  <si>
    <t xml:space="preserve">CAP CASTING (60% PAYMENT) </t>
  </si>
  <si>
    <t>WORK COMPLETED</t>
  </si>
  <si>
    <t>TIE BEAM (40% PAYMENT)</t>
  </si>
  <si>
    <t>GROUND FLOOR</t>
  </si>
  <si>
    <t>COLUMN STEEL WORK (20% PAYMENT)</t>
  </si>
  <si>
    <t>COLUMN CASTING (10% PAYMENT)</t>
  </si>
  <si>
    <t>SLAB SHUTTERING (20% PAYMENT)</t>
  </si>
  <si>
    <t>SLAB CASTING (20% PAYMENT)</t>
  </si>
  <si>
    <t>BRICKWORK (15% PAYMENT)</t>
  </si>
  <si>
    <t>NOT DONE</t>
  </si>
  <si>
    <t>PLASTER (15% PAYMENT)</t>
  </si>
  <si>
    <t>1ST FLOOR</t>
  </si>
  <si>
    <t>LIFTING(10%)</t>
  </si>
  <si>
    <t>EXTRA WORK</t>
  </si>
  <si>
    <t>SEPTIC TANK (NO WATERPROOFING WORK)</t>
  </si>
  <si>
    <t>MUMTY WORK (STAIR ROOM)</t>
  </si>
  <si>
    <t>GROUND FLOOR (SOIL COMPACTING+SOLING+PCC)</t>
  </si>
  <si>
    <t>PARAPET WORK ON ROOF (BRICK&amp;PLASTER)</t>
  </si>
  <si>
    <t>MAIN GATE INSTALLATION</t>
  </si>
  <si>
    <t>TOTAL BILL</t>
  </si>
  <si>
    <t>PAYMENT RECIEVED</t>
  </si>
  <si>
    <t xml:space="preserve">DUES </t>
  </si>
  <si>
    <t>AMOUNT RECIEVED FROM MR. PANKAJ SIR (RAJIV NAGAR)</t>
  </si>
  <si>
    <t>DATE</t>
  </si>
  <si>
    <t>MODE OF PMT</t>
  </si>
  <si>
    <t>REMARKS</t>
  </si>
  <si>
    <t>PHONE PE (MAM)</t>
  </si>
  <si>
    <t>AFTER CAP CASTING</t>
  </si>
  <si>
    <t>ACC TRANSFER (GEETA KRI/WIFE)</t>
  </si>
  <si>
    <t>AFTER TIE BEAM CASTED</t>
  </si>
  <si>
    <t>CASH (PRINCE JEE)</t>
  </si>
  <si>
    <t>AFTER 1ST SLAB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</si>
</sst>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14" fontId="0" fillId="0" borderId="1" xfId="0" applyNumberFormat="1" applyBorder="1"/>
    <xf numFmtId="0" fontId="0" fillId="2" borderId="4" xfId="0" applyFill="1" applyBorder="1"/>
    <xf numFmtId="0" fontId="0" fillId="3" borderId="4" xfId="0" applyFill="1" applyBorder="1"/>
    <xf numFmtId="0" fontId="0" fillId="0" borderId="6" xfId="0" applyBorder="1"/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selection activeCell="L10" sqref="L10"/>
    </sheetView>
  </sheetViews>
  <sheetFormatPr defaultRowHeight="15" x14ac:dyDescent="0.2"/>
  <cols>
    <col min="1" max="1" width="6.45703125" bestFit="1" customWidth="1"/>
    <col min="2" max="2" width="46.54296875" bestFit="1" customWidth="1"/>
    <col min="3" max="3" width="6.45703125" bestFit="1" customWidth="1"/>
    <col min="4" max="5" width="6.3203125" customWidth="1"/>
    <col min="8" max="8" width="18.4296875" bestFit="1" customWidth="1"/>
  </cols>
  <sheetData>
    <row r="1" spans="1:16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16" ht="27.75" x14ac:dyDescent="0.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5" t="s">
        <v>6</v>
      </c>
      <c r="G2" s="6"/>
      <c r="H2" s="5" t="s">
        <v>7</v>
      </c>
      <c r="I2" s="1"/>
    </row>
    <row r="3" spans="1:16" x14ac:dyDescent="0.2">
      <c r="A3" s="1">
        <v>1</v>
      </c>
      <c r="B3" s="1" t="s">
        <v>8</v>
      </c>
      <c r="C3" s="1" t="s">
        <v>9</v>
      </c>
      <c r="D3" s="1">
        <v>900</v>
      </c>
      <c r="E3" s="1">
        <v>120</v>
      </c>
      <c r="F3" s="5">
        <f>D3*E3</f>
        <v>108000</v>
      </c>
      <c r="G3" s="6"/>
      <c r="H3" s="6"/>
      <c r="I3" s="1"/>
      <c r="L3">
        <v>33.159999999999997</v>
      </c>
      <c r="M3">
        <v>25</v>
      </c>
      <c r="N3">
        <f>L3*M3</f>
        <v>828.99999999999989</v>
      </c>
      <c r="O3">
        <v>120</v>
      </c>
      <c r="P3">
        <f>N3*O3</f>
        <v>99479.999999999985</v>
      </c>
    </row>
    <row r="4" spans="1:16" x14ac:dyDescent="0.2">
      <c r="A4" s="1"/>
      <c r="B4" s="1"/>
      <c r="C4" s="1"/>
      <c r="D4" s="1"/>
      <c r="E4" s="1"/>
      <c r="F4" s="6"/>
      <c r="G4" s="6"/>
      <c r="H4" s="6"/>
      <c r="I4" s="1"/>
    </row>
    <row r="5" spans="1:16" x14ac:dyDescent="0.2">
      <c r="A5" s="1">
        <v>1.1000000000000001</v>
      </c>
      <c r="B5" s="1" t="s">
        <v>10</v>
      </c>
      <c r="C5" s="1"/>
      <c r="D5" s="1"/>
      <c r="E5" s="1"/>
      <c r="F5" s="6">
        <f>F3*0.6</f>
        <v>64800</v>
      </c>
      <c r="G5" s="6">
        <v>1.1000000000000001</v>
      </c>
      <c r="H5" s="10" t="s">
        <v>11</v>
      </c>
      <c r="I5" s="1">
        <f>F5</f>
        <v>64800</v>
      </c>
    </row>
    <row r="6" spans="1:16" x14ac:dyDescent="0.2">
      <c r="A6" s="1">
        <v>1.2</v>
      </c>
      <c r="B6" s="1" t="s">
        <v>12</v>
      </c>
      <c r="C6" s="1"/>
      <c r="D6" s="1"/>
      <c r="E6" s="1"/>
      <c r="F6" s="6">
        <f>F3*0.4</f>
        <v>43200</v>
      </c>
      <c r="G6" s="6">
        <v>1.2</v>
      </c>
      <c r="H6" s="10" t="s">
        <v>11</v>
      </c>
      <c r="I6" s="1">
        <f>F6</f>
        <v>43200</v>
      </c>
    </row>
    <row r="7" spans="1:16" x14ac:dyDescent="0.2">
      <c r="A7" s="1"/>
      <c r="B7" s="1"/>
      <c r="C7" s="1"/>
      <c r="D7" s="1"/>
      <c r="E7" s="1"/>
      <c r="F7" s="6"/>
      <c r="G7" s="6"/>
      <c r="H7" s="6"/>
      <c r="I7" s="1"/>
    </row>
    <row r="8" spans="1:16" x14ac:dyDescent="0.2">
      <c r="A8" s="1">
        <v>2</v>
      </c>
      <c r="B8" s="1" t="s">
        <v>13</v>
      </c>
      <c r="C8" s="1" t="s">
        <v>9</v>
      </c>
      <c r="D8" s="1">
        <v>900</v>
      </c>
      <c r="E8" s="1">
        <v>225</v>
      </c>
      <c r="F8" s="5">
        <f>D8*E8</f>
        <v>202500</v>
      </c>
      <c r="G8" s="6"/>
      <c r="H8" s="6"/>
      <c r="I8" s="1"/>
    </row>
    <row r="9" spans="1:16" x14ac:dyDescent="0.2">
      <c r="A9" s="1"/>
      <c r="B9" s="1"/>
      <c r="C9" s="1"/>
      <c r="D9" s="1"/>
      <c r="E9" s="1"/>
      <c r="F9" s="6"/>
      <c r="G9" s="6"/>
      <c r="H9" s="6"/>
      <c r="I9" s="1"/>
    </row>
    <row r="10" spans="1:16" x14ac:dyDescent="0.2">
      <c r="A10" s="1">
        <v>2.1</v>
      </c>
      <c r="B10" s="1" t="s">
        <v>14</v>
      </c>
      <c r="C10" s="1"/>
      <c r="D10" s="1"/>
      <c r="E10" s="1"/>
      <c r="F10" s="6">
        <f>F8*0.2</f>
        <v>40500</v>
      </c>
      <c r="G10" s="6">
        <v>2.1</v>
      </c>
      <c r="H10" s="10" t="s">
        <v>11</v>
      </c>
      <c r="I10" s="1">
        <f>F10</f>
        <v>40500</v>
      </c>
    </row>
    <row r="11" spans="1:16" x14ac:dyDescent="0.2">
      <c r="A11" s="1">
        <v>2.2000000000000002</v>
      </c>
      <c r="B11" s="1" t="s">
        <v>15</v>
      </c>
      <c r="C11" s="1"/>
      <c r="D11" s="1"/>
      <c r="E11" s="1"/>
      <c r="F11" s="6">
        <f>F8*0.1</f>
        <v>20250</v>
      </c>
      <c r="G11" s="6">
        <v>2.2000000000000002</v>
      </c>
      <c r="H11" s="10" t="s">
        <v>11</v>
      </c>
      <c r="I11" s="1">
        <f>F11</f>
        <v>20250</v>
      </c>
    </row>
    <row r="12" spans="1:16" x14ac:dyDescent="0.2">
      <c r="A12" s="1">
        <v>2.2999999999999998</v>
      </c>
      <c r="B12" s="1" t="s">
        <v>16</v>
      </c>
      <c r="C12" s="1"/>
      <c r="D12" s="1"/>
      <c r="E12" s="1"/>
      <c r="F12" s="6">
        <f>F8*0.2</f>
        <v>40500</v>
      </c>
      <c r="G12" s="6">
        <v>2.2999999999999998</v>
      </c>
      <c r="H12" s="10" t="s">
        <v>11</v>
      </c>
      <c r="I12" s="1">
        <f>F12</f>
        <v>40500</v>
      </c>
    </row>
    <row r="13" spans="1:16" x14ac:dyDescent="0.2">
      <c r="A13" s="1">
        <v>2.4</v>
      </c>
      <c r="B13" s="1" t="s">
        <v>17</v>
      </c>
      <c r="C13" s="1"/>
      <c r="D13" s="1"/>
      <c r="E13" s="1"/>
      <c r="F13" s="6">
        <f>F8*0.2</f>
        <v>40500</v>
      </c>
      <c r="G13" s="6">
        <v>2.4</v>
      </c>
      <c r="H13" s="10" t="s">
        <v>11</v>
      </c>
      <c r="I13" s="1">
        <f>F13</f>
        <v>40500</v>
      </c>
    </row>
    <row r="14" spans="1:16" x14ac:dyDescent="0.2">
      <c r="A14" s="1">
        <v>2.5</v>
      </c>
      <c r="B14" s="1" t="s">
        <v>18</v>
      </c>
      <c r="C14" s="1"/>
      <c r="D14" s="1"/>
      <c r="E14" s="1"/>
      <c r="F14" s="6">
        <f>F8*0.15</f>
        <v>30375</v>
      </c>
      <c r="G14" s="6">
        <v>2.5</v>
      </c>
      <c r="H14" s="11" t="s">
        <v>19</v>
      </c>
      <c r="I14" s="1"/>
    </row>
    <row r="15" spans="1:16" x14ac:dyDescent="0.2">
      <c r="A15" s="1">
        <v>2.6</v>
      </c>
      <c r="B15" s="1" t="s">
        <v>20</v>
      </c>
      <c r="C15" s="1"/>
      <c r="D15" s="1"/>
      <c r="E15" s="1"/>
      <c r="F15" s="6">
        <f>F8*0.15</f>
        <v>30375</v>
      </c>
      <c r="G15" s="6">
        <v>2.6</v>
      </c>
      <c r="H15" s="11" t="s">
        <v>19</v>
      </c>
      <c r="I15" s="1"/>
    </row>
    <row r="16" spans="1:16" x14ac:dyDescent="0.2">
      <c r="A16" s="1"/>
      <c r="B16" s="1"/>
      <c r="C16" s="1"/>
      <c r="D16" s="1"/>
      <c r="E16" s="1"/>
      <c r="F16" s="6"/>
      <c r="G16" s="6"/>
      <c r="H16" s="6"/>
      <c r="I16" s="1"/>
    </row>
    <row r="17" spans="1:9" x14ac:dyDescent="0.2">
      <c r="A17" s="1">
        <v>3</v>
      </c>
      <c r="B17" s="1" t="s">
        <v>21</v>
      </c>
      <c r="C17" s="1" t="s">
        <v>9</v>
      </c>
      <c r="D17" s="1">
        <v>900</v>
      </c>
      <c r="E17" s="1">
        <v>225</v>
      </c>
      <c r="F17" s="5">
        <f>D17*E17</f>
        <v>202500</v>
      </c>
      <c r="G17" s="6"/>
      <c r="H17" s="6"/>
      <c r="I17" s="1"/>
    </row>
    <row r="18" spans="1:9" x14ac:dyDescent="0.2">
      <c r="A18" s="1"/>
      <c r="B18" s="1"/>
      <c r="C18" s="1"/>
      <c r="D18" s="1"/>
      <c r="E18" s="1"/>
      <c r="F18" s="6"/>
      <c r="G18" s="6"/>
      <c r="H18" s="6"/>
      <c r="I18" s="1"/>
    </row>
    <row r="19" spans="1:9" x14ac:dyDescent="0.2">
      <c r="A19" s="1">
        <v>3.1</v>
      </c>
      <c r="B19" s="1" t="s">
        <v>22</v>
      </c>
      <c r="C19" s="1"/>
      <c r="D19" s="1"/>
      <c r="E19" s="1"/>
      <c r="F19" s="6">
        <f>F17*0.1</f>
        <v>20250</v>
      </c>
      <c r="G19" s="6">
        <v>3.1</v>
      </c>
      <c r="H19" s="10" t="s">
        <v>11</v>
      </c>
      <c r="I19" s="1">
        <f>F19</f>
        <v>20250</v>
      </c>
    </row>
    <row r="20" spans="1:9" x14ac:dyDescent="0.2">
      <c r="A20" s="1">
        <v>3.2</v>
      </c>
      <c r="B20" s="1" t="s">
        <v>14</v>
      </c>
      <c r="C20" s="1"/>
      <c r="D20" s="1"/>
      <c r="E20" s="1"/>
      <c r="F20" s="6">
        <f>F17*0.2</f>
        <v>40500</v>
      </c>
      <c r="G20" s="6">
        <v>3.2</v>
      </c>
      <c r="H20" s="10" t="s">
        <v>11</v>
      </c>
      <c r="I20" s="1">
        <f>F20</f>
        <v>40500</v>
      </c>
    </row>
    <row r="21" spans="1:9" x14ac:dyDescent="0.2">
      <c r="A21" s="1">
        <v>3.3</v>
      </c>
      <c r="B21" s="1" t="s">
        <v>15</v>
      </c>
      <c r="C21" s="1"/>
      <c r="D21" s="1"/>
      <c r="E21" s="1"/>
      <c r="F21" s="6">
        <f>F17*0.1</f>
        <v>20250</v>
      </c>
      <c r="G21" s="6">
        <v>3.3</v>
      </c>
      <c r="H21" s="10" t="s">
        <v>11</v>
      </c>
      <c r="I21" s="1">
        <f>F21</f>
        <v>20250</v>
      </c>
    </row>
    <row r="22" spans="1:9" x14ac:dyDescent="0.2">
      <c r="A22" s="1">
        <v>3.4</v>
      </c>
      <c r="B22" s="1" t="s">
        <v>16</v>
      </c>
      <c r="C22" s="1"/>
      <c r="D22" s="1"/>
      <c r="E22" s="1"/>
      <c r="F22" s="6">
        <f>F17*0.2</f>
        <v>40500</v>
      </c>
      <c r="G22" s="6">
        <v>3.4</v>
      </c>
      <c r="H22" s="10" t="s">
        <v>11</v>
      </c>
      <c r="I22" s="1">
        <f>F22</f>
        <v>40500</v>
      </c>
    </row>
    <row r="23" spans="1:9" x14ac:dyDescent="0.2">
      <c r="A23" s="1">
        <v>3.5</v>
      </c>
      <c r="B23" s="1" t="s">
        <v>17</v>
      </c>
      <c r="C23" s="1"/>
      <c r="D23" s="1"/>
      <c r="E23" s="1"/>
      <c r="F23" s="6">
        <f>F17*0.2</f>
        <v>40500</v>
      </c>
      <c r="G23" s="6">
        <v>3.5</v>
      </c>
      <c r="H23" s="11" t="s">
        <v>19</v>
      </c>
      <c r="I23" s="1"/>
    </row>
    <row r="24" spans="1:9" x14ac:dyDescent="0.2">
      <c r="A24" s="1">
        <v>3.6</v>
      </c>
      <c r="B24" s="1" t="s">
        <v>18</v>
      </c>
      <c r="C24" s="1"/>
      <c r="D24" s="1"/>
      <c r="E24" s="1"/>
      <c r="F24" s="6">
        <f>F17*0.15</f>
        <v>30375</v>
      </c>
      <c r="G24" s="6">
        <v>3.6</v>
      </c>
      <c r="H24" s="11" t="s">
        <v>19</v>
      </c>
      <c r="I24" s="1"/>
    </row>
    <row r="25" spans="1:9" x14ac:dyDescent="0.2">
      <c r="A25" s="1">
        <v>3.7</v>
      </c>
      <c r="B25" s="1" t="s">
        <v>20</v>
      </c>
      <c r="C25" s="1"/>
      <c r="D25" s="1"/>
      <c r="E25" s="1"/>
      <c r="F25" s="6">
        <f>F17*0.15</f>
        <v>30375</v>
      </c>
      <c r="G25" s="6">
        <v>3.7</v>
      </c>
      <c r="H25" s="11" t="s">
        <v>19</v>
      </c>
      <c r="I25" s="1"/>
    </row>
    <row r="26" spans="1:9" x14ac:dyDescent="0.2">
      <c r="A26" s="1"/>
      <c r="B26" s="1"/>
      <c r="C26" s="1"/>
      <c r="D26" s="1"/>
      <c r="E26" s="1"/>
      <c r="F26" s="6"/>
      <c r="G26" s="6"/>
      <c r="H26" s="6"/>
      <c r="I26" s="1"/>
    </row>
    <row r="27" spans="1:9" x14ac:dyDescent="0.2">
      <c r="A27" s="1"/>
      <c r="B27" s="2" t="s">
        <v>23</v>
      </c>
      <c r="C27" s="1"/>
      <c r="D27" s="1"/>
      <c r="E27" s="1"/>
      <c r="F27" s="6"/>
      <c r="G27" s="6"/>
      <c r="H27" s="6"/>
      <c r="I27" s="1"/>
    </row>
    <row r="28" spans="1:9" x14ac:dyDescent="0.2">
      <c r="A28" s="1">
        <v>4</v>
      </c>
      <c r="B28" s="1" t="s">
        <v>24</v>
      </c>
      <c r="C28" s="1"/>
      <c r="D28" s="1"/>
      <c r="E28" s="1"/>
      <c r="F28" s="5">
        <v>35000</v>
      </c>
      <c r="G28" s="6">
        <v>4</v>
      </c>
      <c r="H28" s="6"/>
      <c r="I28" s="1">
        <v>20000</v>
      </c>
    </row>
    <row r="29" spans="1:9" x14ac:dyDescent="0.2">
      <c r="A29" s="4">
        <v>5</v>
      </c>
      <c r="B29" s="4" t="s">
        <v>25</v>
      </c>
      <c r="C29" s="4"/>
      <c r="D29" s="4"/>
      <c r="E29" s="4"/>
      <c r="F29" s="7"/>
      <c r="G29" s="6">
        <v>5</v>
      </c>
      <c r="H29" s="6"/>
      <c r="I29" s="1"/>
    </row>
    <row r="30" spans="1:9" x14ac:dyDescent="0.2">
      <c r="A30" s="1">
        <v>6</v>
      </c>
      <c r="B30" s="1" t="s">
        <v>26</v>
      </c>
      <c r="C30" s="1"/>
      <c r="D30" s="1"/>
      <c r="E30" s="1"/>
      <c r="F30" s="6"/>
      <c r="G30" s="6">
        <v>6</v>
      </c>
      <c r="H30" s="6"/>
      <c r="I30" s="1"/>
    </row>
    <row r="31" spans="1:9" x14ac:dyDescent="0.2">
      <c r="A31" s="1">
        <v>7</v>
      </c>
      <c r="B31" s="1" t="s">
        <v>27</v>
      </c>
      <c r="C31" s="1"/>
      <c r="D31" s="1"/>
      <c r="E31" s="1"/>
      <c r="F31" s="6"/>
      <c r="G31" s="6">
        <v>7</v>
      </c>
      <c r="H31" s="6"/>
      <c r="I31" s="1"/>
    </row>
    <row r="32" spans="1:9" x14ac:dyDescent="0.2">
      <c r="A32" s="1">
        <v>8</v>
      </c>
      <c r="B32" s="1" t="s">
        <v>28</v>
      </c>
      <c r="C32" s="1"/>
      <c r="D32" s="1"/>
      <c r="E32" s="1"/>
      <c r="F32" s="6"/>
      <c r="G32" s="6">
        <v>8</v>
      </c>
      <c r="H32" s="7"/>
      <c r="I32" s="1"/>
    </row>
    <row r="33" spans="8:9" x14ac:dyDescent="0.2">
      <c r="H33" s="1" t="s">
        <v>29</v>
      </c>
      <c r="I33" s="12">
        <f>SUM(I4:I32)</f>
        <v>391250</v>
      </c>
    </row>
    <row r="34" spans="8:9" x14ac:dyDescent="0.2">
      <c r="H34" s="1" t="s">
        <v>30</v>
      </c>
      <c r="I34" s="12">
        <f>Sheet2!C7</f>
        <v>215000</v>
      </c>
    </row>
    <row r="35" spans="8:9" x14ac:dyDescent="0.2">
      <c r="H35" s="1" t="s">
        <v>31</v>
      </c>
      <c r="I35" s="12">
        <f>I33-I34</f>
        <v>176250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84B3-E9A3-49D4-883B-84FC32986862}">
  <dimension ref="A2:E7"/>
  <sheetViews>
    <sheetView tabSelected="1" workbookViewId="0">
      <selection activeCell="I8" sqref="I8"/>
    </sheetView>
  </sheetViews>
  <sheetFormatPr defaultRowHeight="15" x14ac:dyDescent="0.2"/>
  <cols>
    <col min="1" max="1" width="7.6640625" customWidth="1"/>
    <col min="2" max="2" width="10.89453125" bestFit="1" customWidth="1"/>
    <col min="4" max="4" width="29.86328125" bestFit="1" customWidth="1"/>
    <col min="5" max="5" width="22.8671875" bestFit="1" customWidth="1"/>
  </cols>
  <sheetData>
    <row r="2" spans="1:5" ht="29.25" customHeight="1" x14ac:dyDescent="0.3">
      <c r="A2" s="13" t="s">
        <v>32</v>
      </c>
      <c r="B2" s="13"/>
      <c r="C2" s="13"/>
      <c r="D2" s="13"/>
      <c r="E2" s="13"/>
    </row>
    <row r="3" spans="1:5" x14ac:dyDescent="0.2">
      <c r="A3" s="2" t="s">
        <v>1</v>
      </c>
      <c r="B3" s="2" t="s">
        <v>33</v>
      </c>
      <c r="C3" s="2" t="s">
        <v>6</v>
      </c>
      <c r="D3" s="2" t="s">
        <v>34</v>
      </c>
      <c r="E3" s="2" t="s">
        <v>35</v>
      </c>
    </row>
    <row r="4" spans="1:5" x14ac:dyDescent="0.2">
      <c r="A4" s="1">
        <v>1</v>
      </c>
      <c r="B4" s="1"/>
      <c r="C4" s="1">
        <v>15000</v>
      </c>
      <c r="D4" s="1" t="s">
        <v>36</v>
      </c>
      <c r="E4" s="1" t="s">
        <v>37</v>
      </c>
    </row>
    <row r="5" spans="1:5" x14ac:dyDescent="0.2">
      <c r="A5" s="1">
        <v>2</v>
      </c>
      <c r="B5" s="1"/>
      <c r="C5" s="1">
        <v>100000</v>
      </c>
      <c r="D5" s="1" t="s">
        <v>38</v>
      </c>
      <c r="E5" s="1" t="s">
        <v>39</v>
      </c>
    </row>
    <row r="6" spans="1:5" x14ac:dyDescent="0.2">
      <c r="A6" s="1">
        <v>3</v>
      </c>
      <c r="B6" s="9">
        <v>46077</v>
      </c>
      <c r="C6" s="1">
        <v>100000</v>
      </c>
      <c r="D6" s="1" t="s">
        <v>40</v>
      </c>
      <c r="E6" s="1" t="s">
        <v>41</v>
      </c>
    </row>
    <row r="7" spans="1:5" x14ac:dyDescent="0.2">
      <c r="C7" s="8">
        <f>SUM(C4:C6)</f>
        <v>215000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2025-12-23T06:02:12Z</dcterms:created>
  <dcterms:modified xsi:type="dcterms:W3CDTF">2026-03-18T09:25:17Z</dcterms:modified>
  <cp:category/>
  <cp:contentStatus/>
</cp:coreProperties>
</file>